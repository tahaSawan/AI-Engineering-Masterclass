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P12264\Downloads\"/>
    </mc:Choice>
  </mc:AlternateContent>
  <xr:revisionPtr revIDLastSave="0" documentId="8_{284CAEDD-71D8-43D2-8CAD-D260A1FE9793}" xr6:coauthVersionLast="47" xr6:coauthVersionMax="47" xr10:uidLastSave="{00000000-0000-0000-0000-000000000000}"/>
  <bookViews>
    <workbookView xWindow="-120" yWindow="-120" windowWidth="20730" windowHeight="11040" xr2:uid="{E7A72980-F284-477D-8F64-ED46E32C14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" l="1"/>
  <c r="I20" i="1"/>
  <c r="L11" i="1"/>
  <c r="L10" i="1"/>
  <c r="L9" i="1"/>
  <c r="L8" i="1"/>
  <c r="L7" i="1"/>
  <c r="L6" i="1"/>
  <c r="L5" i="1"/>
  <c r="L4" i="1"/>
  <c r="L3" i="1"/>
  <c r="L2" i="1"/>
  <c r="L12" i="1" s="1"/>
  <c r="I14" i="1"/>
  <c r="I13" i="1"/>
  <c r="I18" i="1"/>
  <c r="I17" i="1"/>
  <c r="J12" i="1"/>
  <c r="I12" i="1"/>
  <c r="J11" i="1"/>
  <c r="J10" i="1"/>
  <c r="J9" i="1"/>
  <c r="J8" i="1"/>
  <c r="J7" i="1"/>
  <c r="J6" i="1"/>
  <c r="J5" i="1"/>
  <c r="J4" i="1"/>
  <c r="J3" i="1"/>
  <c r="J2" i="1"/>
  <c r="I11" i="1"/>
  <c r="I10" i="1"/>
  <c r="I9" i="1"/>
  <c r="I8" i="1"/>
  <c r="I7" i="1"/>
  <c r="I6" i="1"/>
  <c r="I5" i="1"/>
  <c r="I4" i="1"/>
  <c r="I3" i="1"/>
  <c r="I2" i="1"/>
  <c r="H12" i="1"/>
  <c r="G12" i="1"/>
  <c r="E14" i="1"/>
  <c r="E13" i="1"/>
</calcChain>
</file>

<file path=xl/sharedStrings.xml><?xml version="1.0" encoding="utf-8"?>
<sst xmlns="http://schemas.openxmlformats.org/spreadsheetml/2006/main" count="15" uniqueCount="15">
  <si>
    <t>X1</t>
  </si>
  <si>
    <t>X2</t>
  </si>
  <si>
    <t>meanX1</t>
  </si>
  <si>
    <t>meanX2</t>
  </si>
  <si>
    <t>stdX1</t>
  </si>
  <si>
    <t>stdX2</t>
  </si>
  <si>
    <t>X1 - meanX1</t>
  </si>
  <si>
    <t>X2-meanX2</t>
  </si>
  <si>
    <t>G*G</t>
  </si>
  <si>
    <t>H*H</t>
  </si>
  <si>
    <t>varX1</t>
  </si>
  <si>
    <t>varX2</t>
  </si>
  <si>
    <t>G* H</t>
  </si>
  <si>
    <t>Covariance(X1, X2)</t>
  </si>
  <si>
    <t>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</si>
</sst>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A5E1E-DC92-40F9-A686-3F43177A6FAB}">
  <dimension ref="D1:N20"/>
  <sheetViews>
    <sheetView tabSelected="1" workbookViewId="0">
      <selection activeCell="C1" sqref="C1"/>
    </sheetView>
  </sheetViews>
  <sheetFormatPr defaultRowHeight="15" x14ac:dyDescent="0.25"/>
  <cols>
    <col min="7" max="7" width="13.85546875" customWidth="1"/>
    <col min="8" max="8" width="12.7109375" bestFit="1" customWidth="1"/>
  </cols>
  <sheetData>
    <row r="1" spans="4:14" x14ac:dyDescent="0.25">
      <c r="E1" t="s">
        <v>0</v>
      </c>
      <c r="F1" t="s">
        <v>1</v>
      </c>
      <c r="G1" t="s">
        <v>6</v>
      </c>
      <c r="H1" t="s">
        <v>7</v>
      </c>
      <c r="I1" t="s">
        <v>8</v>
      </c>
      <c r="J1" t="s">
        <v>9</v>
      </c>
      <c r="L1" t="s">
        <v>12</v>
      </c>
    </row>
    <row r="2" spans="4:14" x14ac:dyDescent="0.25">
      <c r="E2">
        <v>57</v>
      </c>
      <c r="F2">
        <v>50</v>
      </c>
      <c r="G2" s="1">
        <v>6.1000000000000014</v>
      </c>
      <c r="H2">
        <v>9.2999999999999972</v>
      </c>
      <c r="I2">
        <f>G2*G2</f>
        <v>37.210000000000015</v>
      </c>
      <c r="J2">
        <f>H2*H2</f>
        <v>86.489999999999952</v>
      </c>
      <c r="L2" s="1">
        <f>G2*H2</f>
        <v>56.73</v>
      </c>
    </row>
    <row r="3" spans="4:14" x14ac:dyDescent="0.25">
      <c r="E3">
        <v>90</v>
      </c>
      <c r="F3">
        <v>20</v>
      </c>
      <c r="G3" s="1">
        <v>39.1</v>
      </c>
      <c r="H3">
        <v>-20.700000000000003</v>
      </c>
      <c r="I3">
        <f t="shared" ref="I3:I11" si="0">G3*G3</f>
        <v>1528.8100000000002</v>
      </c>
      <c r="J3">
        <f t="shared" ref="J3:J11" si="1">H3*H3</f>
        <v>428.49000000000012</v>
      </c>
      <c r="L3" s="1">
        <f t="shared" ref="L3:L11" si="2">G3*H3</f>
        <v>-809.37000000000012</v>
      </c>
    </row>
    <row r="4" spans="4:14" x14ac:dyDescent="0.25">
      <c r="E4">
        <v>90</v>
      </c>
      <c r="F4">
        <v>24</v>
      </c>
      <c r="G4" s="1">
        <v>39.1</v>
      </c>
      <c r="H4">
        <v>-16.700000000000003</v>
      </c>
      <c r="I4">
        <f t="shared" si="0"/>
        <v>1528.8100000000002</v>
      </c>
      <c r="J4">
        <f t="shared" si="1"/>
        <v>278.8900000000001</v>
      </c>
      <c r="L4" s="1">
        <f t="shared" si="2"/>
        <v>-652.97000000000014</v>
      </c>
    </row>
    <row r="5" spans="4:14" x14ac:dyDescent="0.25">
      <c r="E5">
        <v>63</v>
      </c>
      <c r="F5">
        <v>58</v>
      </c>
      <c r="G5" s="1">
        <v>12.100000000000001</v>
      </c>
      <c r="H5">
        <v>17.299999999999997</v>
      </c>
      <c r="I5">
        <f t="shared" si="0"/>
        <v>146.41000000000003</v>
      </c>
      <c r="J5">
        <f t="shared" si="1"/>
        <v>299.28999999999991</v>
      </c>
      <c r="L5" s="1">
        <f t="shared" si="2"/>
        <v>209.32999999999998</v>
      </c>
    </row>
    <row r="6" spans="4:14" x14ac:dyDescent="0.25">
      <c r="E6">
        <v>36</v>
      </c>
      <c r="F6">
        <v>76</v>
      </c>
      <c r="G6" s="1">
        <v>-14.899999999999999</v>
      </c>
      <c r="H6">
        <v>35.299999999999997</v>
      </c>
      <c r="I6">
        <f t="shared" si="0"/>
        <v>222.00999999999996</v>
      </c>
      <c r="J6">
        <f t="shared" si="1"/>
        <v>1246.0899999999997</v>
      </c>
      <c r="L6" s="1">
        <f t="shared" si="2"/>
        <v>-525.96999999999991</v>
      </c>
    </row>
    <row r="7" spans="4:14" x14ac:dyDescent="0.25">
      <c r="E7">
        <v>83</v>
      </c>
      <c r="F7">
        <v>4</v>
      </c>
      <c r="G7" s="1">
        <v>32.1</v>
      </c>
      <c r="H7">
        <v>-36.700000000000003</v>
      </c>
      <c r="I7">
        <f t="shared" si="0"/>
        <v>1030.4100000000001</v>
      </c>
      <c r="J7">
        <f t="shared" si="1"/>
        <v>1346.89</v>
      </c>
      <c r="L7" s="1">
        <f t="shared" si="2"/>
        <v>-1178.0700000000002</v>
      </c>
    </row>
    <row r="8" spans="4:14" x14ac:dyDescent="0.25">
      <c r="E8">
        <v>59</v>
      </c>
      <c r="F8">
        <v>8</v>
      </c>
      <c r="G8" s="1">
        <v>8.1000000000000014</v>
      </c>
      <c r="H8">
        <v>-32.700000000000003</v>
      </c>
      <c r="I8">
        <f t="shared" si="0"/>
        <v>65.610000000000028</v>
      </c>
      <c r="J8">
        <f t="shared" si="1"/>
        <v>1069.2900000000002</v>
      </c>
      <c r="L8" s="1">
        <f t="shared" si="2"/>
        <v>-264.87000000000006</v>
      </c>
    </row>
    <row r="9" spans="4:14" x14ac:dyDescent="0.25">
      <c r="E9">
        <v>10</v>
      </c>
      <c r="F9">
        <v>97</v>
      </c>
      <c r="G9" s="1">
        <v>-40.9</v>
      </c>
      <c r="H9">
        <v>56.3</v>
      </c>
      <c r="I9">
        <f t="shared" si="0"/>
        <v>1672.81</v>
      </c>
      <c r="J9">
        <f t="shared" si="1"/>
        <v>3169.6899999999996</v>
      </c>
      <c r="L9" s="1">
        <f t="shared" si="2"/>
        <v>-2302.6699999999996</v>
      </c>
    </row>
    <row r="10" spans="4:14" x14ac:dyDescent="0.25">
      <c r="E10">
        <v>8</v>
      </c>
      <c r="F10">
        <v>2</v>
      </c>
      <c r="G10" s="1">
        <v>-42.9</v>
      </c>
      <c r="H10">
        <v>-38.700000000000003</v>
      </c>
      <c r="I10">
        <f t="shared" si="0"/>
        <v>1840.4099999999999</v>
      </c>
      <c r="J10">
        <f t="shared" si="1"/>
        <v>1497.6900000000003</v>
      </c>
      <c r="L10" s="1">
        <f t="shared" si="2"/>
        <v>1660.23</v>
      </c>
    </row>
    <row r="11" spans="4:14" x14ac:dyDescent="0.25">
      <c r="E11">
        <v>13</v>
      </c>
      <c r="F11">
        <v>68</v>
      </c>
      <c r="G11" s="1">
        <v>-37.9</v>
      </c>
      <c r="H11">
        <v>27.299999999999997</v>
      </c>
      <c r="I11">
        <f t="shared" si="0"/>
        <v>1436.4099999999999</v>
      </c>
      <c r="J11">
        <f t="shared" si="1"/>
        <v>745.28999999999985</v>
      </c>
      <c r="L11" s="1">
        <f t="shared" si="2"/>
        <v>-1034.6699999999998</v>
      </c>
    </row>
    <row r="12" spans="4:14" x14ac:dyDescent="0.25">
      <c r="G12" s="1">
        <f>SUM(G2:G11)</f>
        <v>0</v>
      </c>
      <c r="H12" s="1">
        <f>SUM(H2:H11)</f>
        <v>-2.8421709430404007E-14</v>
      </c>
      <c r="I12">
        <f>SUM(I2:I11)</f>
        <v>9508.9</v>
      </c>
      <c r="J12">
        <f>SUM(J2:J11)</f>
        <v>10168.099999999999</v>
      </c>
      <c r="L12" s="1">
        <f>SUM(L2:L11)</f>
        <v>-4842.2999999999993</v>
      </c>
    </row>
    <row r="13" spans="4:14" x14ac:dyDescent="0.25">
      <c r="D13" t="s">
        <v>2</v>
      </c>
      <c r="E13">
        <f>SUM(E2:E11)/COUNT(E2:E11)</f>
        <v>50.9</v>
      </c>
      <c r="H13" t="s">
        <v>4</v>
      </c>
      <c r="I13">
        <f>SQRT(I17)</f>
        <v>30.836504341445707</v>
      </c>
    </row>
    <row r="14" spans="4:14" x14ac:dyDescent="0.25">
      <c r="D14" t="s">
        <v>3</v>
      </c>
      <c r="E14">
        <f>SUM(F2:F11)/COUNT(F2:F11)</f>
        <v>40.700000000000003</v>
      </c>
      <c r="H14" t="s">
        <v>5</v>
      </c>
      <c r="I14">
        <f>SQRT(I18)</f>
        <v>31.887458349639594</v>
      </c>
    </row>
    <row r="16" spans="4:14" x14ac:dyDescent="0.25">
      <c r="M16" t="s">
        <v>14</v>
      </c>
      <c r="N16">
        <f>I20/(I13*I14)</f>
        <v>-0.49245510941676618</v>
      </c>
    </row>
    <row r="17" spans="8:9" x14ac:dyDescent="0.25">
      <c r="H17" t="s">
        <v>10</v>
      </c>
      <c r="I17">
        <f>I12/COUNT(I2:I11)</f>
        <v>950.89</v>
      </c>
    </row>
    <row r="18" spans="8:9" x14ac:dyDescent="0.25">
      <c r="H18" t="s">
        <v>11</v>
      </c>
      <c r="I18">
        <f>J12/COUNT(J2:J11)</f>
        <v>1016.8099999999998</v>
      </c>
    </row>
    <row r="20" spans="8:9" x14ac:dyDescent="0.25">
      <c r="H20" t="s">
        <v>13</v>
      </c>
      <c r="I20">
        <f>L12/COUNT(L2:L11)</f>
        <v>-484.2299999999999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Kumar</dc:creator>
  <cp:lastModifiedBy>Jitendra Kumar</cp:lastModifiedBy>
  <dcterms:created xsi:type="dcterms:W3CDTF">2025-08-10T14:51:15Z</dcterms:created>
  <dcterms:modified xsi:type="dcterms:W3CDTF">2025-08-10T15:22:48Z</dcterms:modified>
</cp:coreProperties>
</file>